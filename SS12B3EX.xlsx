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DE5BA40-EA46-4926-9E20-8FC39A563CBB}" xr6:coauthVersionLast="47" xr6:coauthVersionMax="47" xr10:uidLastSave="{00000000-0000-0000-0000-000000000000}"/>
  <bookViews>
    <workbookView xWindow="-110" yWindow="-110" windowWidth="19420" windowHeight="10560" xr2:uid="{8D4C444A-606F-48C8-A31D-8C8ABAA180F8}"/>
  </bookViews>
  <sheets>
    <sheet name="Trang_tính1" sheetId="1" r:id="rId1"/>
    <sheet name="Trang_tính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H3" i="1" s="1"/>
  <c r="G2" i="1"/>
  <c r="H2" i="1" s="1"/>
  <c r="G4" i="1"/>
  <c r="G5" i="1"/>
  <c r="G6" i="1"/>
  <c r="G7" i="1"/>
  <c r="F5" i="1"/>
  <c r="F6" i="1"/>
  <c r="F7" i="1"/>
  <c r="F3" i="1"/>
  <c r="F4" i="1"/>
  <c r="F2" i="1"/>
</calcChain>
</file>

<file path=xl/sharedStrings.xml><?xml version="1.0" encoding="utf-8"?>
<sst xmlns="http://schemas.openxmlformats.org/spreadsheetml/2006/main" count="41" uniqueCount="29">
  <si>
    <t>STT</t>
  </si>
  <si>
    <t>Tên BĐS</t>
  </si>
  <si>
    <t>Loại BĐS</t>
  </si>
  <si>
    <t>Giá bán (VND)</t>
  </si>
  <si>
    <t>Mã MG</t>
  </si>
  <si>
    <t>Môi giới</t>
  </si>
  <si>
    <t>Tỷ lệ hoa hồng</t>
  </si>
  <si>
    <t>Hoa hồng (VND)</t>
  </si>
  <si>
    <t>Villa Riverside</t>
  </si>
  <si>
    <t>Biệt thự</t>
  </si>
  <si>
    <t>MG01</t>
  </si>
  <si>
    <t>Nguyễn An</t>
  </si>
  <si>
    <t>Sunrise Apartment</t>
  </si>
  <si>
    <t>Căn hộ</t>
  </si>
  <si>
    <t>MG02</t>
  </si>
  <si>
    <t>Trần Minh</t>
  </si>
  <si>
    <t>Green Park House</t>
  </si>
  <si>
    <t>Nhà phố</t>
  </si>
  <si>
    <t>MG03</t>
  </si>
  <si>
    <t>Lê Hằng</t>
  </si>
  <si>
    <t>122.400.000</t>
  </si>
  <si>
    <t>Skyline Apartment</t>
  </si>
  <si>
    <t>39.750.000</t>
  </si>
  <si>
    <t>Ocean View Villa</t>
  </si>
  <si>
    <t>370.000.000</t>
  </si>
  <si>
    <t>Central House</t>
  </si>
  <si>
    <t>MG04</t>
  </si>
  <si>
    <t>Phạm Nam</t>
  </si>
  <si>
    <t>83.200.000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</si>
</sst>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37F0-8C4D-4997-8A55-9328A88E081F}">
  <dimension ref="A1:H9"/>
  <sheetViews>
    <sheetView tabSelected="1" workbookViewId="0">
      <selection activeCell="G2" sqref="G2"/>
    </sheetView>
  </sheetViews>
  <sheetFormatPr defaultRowHeight="15.5" x14ac:dyDescent="0.35"/>
  <cols>
    <col min="2" max="2" width="14.9140625" customWidth="1"/>
    <col min="4" max="4" width="19.6640625" customWidth="1"/>
    <col min="7" max="7" width="13.9140625" customWidth="1"/>
    <col min="8" max="8" width="16.5" customWidth="1"/>
  </cols>
  <sheetData>
    <row r="1" spans="1:8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thickBot="1" x14ac:dyDescent="0.4">
      <c r="A2" s="2">
        <v>1</v>
      </c>
      <c r="B2" s="1" t="s">
        <v>8</v>
      </c>
      <c r="C2" s="1" t="s">
        <v>9</v>
      </c>
      <c r="D2" s="2">
        <v>15000000000</v>
      </c>
      <c r="E2" s="1" t="s">
        <v>10</v>
      </c>
      <c r="F2" s="1" t="str">
        <f>VLOOKUP(E2, Trang_tính2!$A$1:$C$5, 2, 0)</f>
        <v>Nguyễn An</v>
      </c>
      <c r="G2" s="2">
        <f>VLOOKUP(E2, Trang_tính2!$A$1:$C$5, 3, 0)</f>
        <v>0.02</v>
      </c>
      <c r="H2" s="2">
        <f>D2*G2</f>
        <v>300000000</v>
      </c>
    </row>
    <row r="3" spans="1:8" ht="16" thickBot="1" x14ac:dyDescent="0.4">
      <c r="A3" s="2">
        <v>2</v>
      </c>
      <c r="B3" s="1" t="s">
        <v>12</v>
      </c>
      <c r="C3" s="1" t="s">
        <v>13</v>
      </c>
      <c r="D3" s="2">
        <v>3200000000</v>
      </c>
      <c r="E3" s="1" t="s">
        <v>14</v>
      </c>
      <c r="F3" s="1" t="str">
        <f>VLOOKUP(E3, Trang_tính2!$A$1:$C$5, 2, 0)</f>
        <v>Trần Minh</v>
      </c>
      <c r="G3" s="2">
        <f>VLOOKUP(E3,Trang_tính2!$A$1:$C$5, 3, 0)</f>
        <v>1.4999999999999999E-2</v>
      </c>
      <c r="H3" s="2">
        <f>G3*D3</f>
        <v>48000000</v>
      </c>
    </row>
    <row r="4" spans="1:8" ht="16" thickBot="1" x14ac:dyDescent="0.4">
      <c r="A4" s="2">
        <v>3</v>
      </c>
      <c r="B4" s="1" t="s">
        <v>16</v>
      </c>
      <c r="C4" s="1" t="s">
        <v>17</v>
      </c>
      <c r="D4" s="2">
        <v>6800000000</v>
      </c>
      <c r="E4" s="1" t="s">
        <v>18</v>
      </c>
      <c r="F4" s="1" t="str">
        <f>VLOOKUP(E4, Trang_tính2!$A$1:$C$5, 2, 0)</f>
        <v>Lê Hằng</v>
      </c>
      <c r="G4" s="2">
        <f>VLOOKUP(E4, Trang_tính2!$A$1:$C$5, 3, 0)</f>
        <v>1.7999999999999999E-2</v>
      </c>
      <c r="H4" s="2" t="s">
        <v>20</v>
      </c>
    </row>
    <row r="5" spans="1:8" ht="16" thickBot="1" x14ac:dyDescent="0.4">
      <c r="A5" s="2">
        <v>4</v>
      </c>
      <c r="B5" s="1" t="s">
        <v>21</v>
      </c>
      <c r="C5" s="1" t="s">
        <v>13</v>
      </c>
      <c r="D5" s="2">
        <v>2650000000</v>
      </c>
      <c r="E5" s="1" t="s">
        <v>14</v>
      </c>
      <c r="F5" s="1" t="str">
        <f>VLOOKUP(E5, Trang_tính2!$A$1:$C$5, 2, 0)</f>
        <v>Trần Minh</v>
      </c>
      <c r="G5" s="2">
        <f>VLOOKUP(E5, Trang_tính2!$A$1:$C$5, 3, 0)</f>
        <v>1.4999999999999999E-2</v>
      </c>
      <c r="H5" s="2" t="s">
        <v>22</v>
      </c>
    </row>
    <row r="6" spans="1:8" ht="16" thickBot="1" x14ac:dyDescent="0.4">
      <c r="A6" s="2">
        <v>5</v>
      </c>
      <c r="B6" s="1" t="s">
        <v>23</v>
      </c>
      <c r="C6" s="1" t="s">
        <v>9</v>
      </c>
      <c r="D6" s="2">
        <v>18500000000</v>
      </c>
      <c r="E6" s="1" t="s">
        <v>10</v>
      </c>
      <c r="F6" s="1" t="str">
        <f>VLOOKUP(E6, Trang_tính2!$A$1:$C$5, 2, 0)</f>
        <v>Nguyễn An</v>
      </c>
      <c r="G6" s="2">
        <f>VLOOKUP(E6, Trang_tính2!$A$1:$C$5, 3, 0)</f>
        <v>0.02</v>
      </c>
      <c r="H6" s="2" t="s">
        <v>24</v>
      </c>
    </row>
    <row r="7" spans="1:8" ht="15.5" customHeight="1" thickBot="1" x14ac:dyDescent="0.4">
      <c r="A7" s="2">
        <v>6</v>
      </c>
      <c r="B7" s="1" t="s">
        <v>25</v>
      </c>
      <c r="C7" s="1" t="s">
        <v>17</v>
      </c>
      <c r="D7" s="2">
        <v>5200000000</v>
      </c>
      <c r="E7" s="1" t="s">
        <v>26</v>
      </c>
      <c r="F7" s="1" t="str">
        <f>VLOOKUP(E7, Trang_tính2!$A$1:$C$5, 2, 0)</f>
        <v>Phạm Nam</v>
      </c>
      <c r="G7" s="2">
        <f>VLOOKUP(E7, Trang_tính2!$A$1:$C$5, 3, 0)</f>
        <v>1.6E-2</v>
      </c>
      <c r="H7" s="2" t="s">
        <v>28</v>
      </c>
    </row>
    <row r="8" spans="1:8" ht="16" thickBot="1" x14ac:dyDescent="0.4">
      <c r="A8" s="1"/>
      <c r="B8" s="1"/>
      <c r="C8" s="1"/>
      <c r="D8" s="1"/>
      <c r="E8" s="1"/>
      <c r="F8" s="1"/>
      <c r="G8" s="1"/>
      <c r="H8" s="1"/>
    </row>
    <row r="9" spans="1:8" ht="16" thickBot="1" x14ac:dyDescent="0.4">
      <c r="A9" s="1"/>
      <c r="B9" s="1"/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8382-9C6B-474F-AF01-4FB794CC7ED4}">
  <dimension ref="A1:C5"/>
  <sheetViews>
    <sheetView workbookViewId="0">
      <selection activeCell="C5" sqref="C5"/>
    </sheetView>
  </sheetViews>
  <sheetFormatPr defaultRowHeight="15.5" x14ac:dyDescent="0.35"/>
  <sheetData>
    <row r="1" spans="1:3" ht="26.5" thickBot="1" x14ac:dyDescent="0.4">
      <c r="A1" s="1" t="s">
        <v>4</v>
      </c>
      <c r="B1" s="1" t="s">
        <v>5</v>
      </c>
      <c r="C1" s="1" t="s">
        <v>6</v>
      </c>
    </row>
    <row r="2" spans="1:3" ht="16" thickBot="1" x14ac:dyDescent="0.4">
      <c r="A2" s="1" t="s">
        <v>10</v>
      </c>
      <c r="B2" s="1" t="s">
        <v>11</v>
      </c>
      <c r="C2" s="3">
        <v>0.02</v>
      </c>
    </row>
    <row r="3" spans="1:3" ht="16" thickBot="1" x14ac:dyDescent="0.4">
      <c r="A3" s="1" t="s">
        <v>14</v>
      </c>
      <c r="B3" s="1" t="s">
        <v>15</v>
      </c>
      <c r="C3" s="3">
        <v>1.4999999999999999E-2</v>
      </c>
    </row>
    <row r="4" spans="1:3" ht="16" thickBot="1" x14ac:dyDescent="0.4">
      <c r="A4" s="1" t="s">
        <v>18</v>
      </c>
      <c r="B4" s="1" t="s">
        <v>19</v>
      </c>
      <c r="C4" s="3">
        <v>1.7999999999999999E-2</v>
      </c>
    </row>
    <row r="5" spans="1:3" ht="26.5" thickBot="1" x14ac:dyDescent="0.4">
      <c r="A5" s="1" t="s">
        <v>26</v>
      </c>
      <c r="B5" s="1" t="s">
        <v>27</v>
      </c>
      <c r="C5" s="3">
        <v>1.6E-2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Trang_tính1</vt:lpstr>
      <vt:lpstr>Trang_tính2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Vu Long D26TXCN06</dc:creator>
  <cp:lastModifiedBy>Nguyen Vu Long D26TXCN06</cp:lastModifiedBy>
  <dcterms:created xsi:type="dcterms:W3CDTF">2026-10-26T17:52:53Z</dcterms:created>
  <dcterms:modified xsi:type="dcterms:W3CDTF">2026-10-26T18:26:50Z</dcterms:modified>
</cp:coreProperties>
</file>